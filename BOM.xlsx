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 bébou\Desktop\reveil\"/>
    </mc:Choice>
  </mc:AlternateContent>
  <xr:revisionPtr revIDLastSave="0" documentId="13_ncr:1_{45B16EC6-F0DA-4ED6-B25B-3C6B62E9F367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B74" i="1"/>
  <c r="B77" i="1"/>
  <c r="B80" i="1"/>
  <c r="B78" i="1"/>
  <c r="B79" i="1"/>
  <c r="B75" i="1"/>
  <c r="F71" i="1"/>
  <c r="F37" i="1"/>
  <c r="F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Florian CHARLES</author>
  </authors>
  <commentList>
    <comment ref="D1" authorId="0" shapeId="0" xr:uid="{853D2D82-F360-4CA9-B905-9EC195CF5CEE}">
      <text>
        <r>
          <rPr>
            <b/>
            <sz val="9"/>
            <color indexed="81"/>
            <rFont val="Tahoma"/>
            <charset val="1"/>
          </rPr>
          <t>Florian CHARLES:</t>
        </r>
        <r>
          <rPr>
            <sz val="9"/>
            <color indexed="81"/>
            <rFont val="Tahoma"/>
            <charset val="1"/>
          </rPr>
          <t xml:space="preserve">
! ALREADY apply to price</t>
        </r>
      </text>
    </comment>
    <comment ref="F1" authorId="0" shapeId="0" xr:uid="{2F914A68-30AA-4B96-B6F0-BB8CBB86E067}">
      <text>
        <r>
          <rPr>
            <b/>
            <sz val="9"/>
            <color indexed="81"/>
            <rFont val="Tahoma"/>
            <charset val="1"/>
          </rPr>
          <t>Florian CHARLES:</t>
        </r>
        <r>
          <rPr>
            <sz val="9"/>
            <color indexed="81"/>
            <rFont val="Tahoma"/>
            <charset val="1"/>
          </rPr>
          <t xml:space="preserve">
Price including the quantity </t>
        </r>
      </text>
    </comment>
    <comment ref="B42" authorId="0" shapeId="0" xr:uid="{6E993080-E1EE-48E7-9674-113E3D88C5A9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The model that I used is not available yet. Any speaker 4 or 8 ohm will be good. Ensure just is the same dimension as the CAD or change it.</t>
        </r>
      </text>
    </comment>
    <comment ref="E42" authorId="0" shapeId="0" xr:uid="{FA2010DA-2114-4701-95B7-380B61F9208E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Something like this </t>
        </r>
      </text>
    </comment>
    <comment ref="C64" authorId="0" shapeId="0" xr:uid="{F6D4984A-677F-4528-906E-4304F4816659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I need one of 21cm but I can't find one not too expensive. So I'm gonna take two log and cut it to create my own 21cm</t>
        </r>
      </text>
    </comment>
    <comment ref="A75" authorId="0" shapeId="0" xr:uid="{AA8DD650-6C68-4915-BD9F-33D61211AD2C}">
      <text>
        <r>
          <rPr>
            <b/>
            <sz val="9"/>
            <color indexed="81"/>
            <rFont val="Tahoma"/>
            <family val="2"/>
          </rPr>
          <t>Florian CHARLES:</t>
        </r>
        <r>
          <rPr>
            <sz val="9"/>
            <color indexed="81"/>
            <rFont val="Tahoma"/>
            <family val="2"/>
          </rPr>
          <t xml:space="preserve">
I've already got some components so I don't need to buy all this things</t>
        </r>
      </text>
    </comment>
  </commentList>
</comments>
</file>

<file path=xl/sharedStrings.xml><?xml version="1.0" encoding="utf-8"?>
<sst xmlns="http://schemas.openxmlformats.org/spreadsheetml/2006/main" count="188" uniqueCount="141">
  <si>
    <t xml:space="preserve">name </t>
  </si>
  <si>
    <t xml:space="preserve">value </t>
  </si>
  <si>
    <t xml:space="preserve">Resistance </t>
  </si>
  <si>
    <t xml:space="preserve">Components LCSC : </t>
  </si>
  <si>
    <t>C105588</t>
  </si>
  <si>
    <t>C2930092</t>
  </si>
  <si>
    <t>5,1k</t>
  </si>
  <si>
    <t>C2907044</t>
  </si>
  <si>
    <t>Quantity</t>
  </si>
  <si>
    <t>1M</t>
  </si>
  <si>
    <t>C2907115</t>
  </si>
  <si>
    <t>LCSC code / link</t>
  </si>
  <si>
    <t>10k</t>
  </si>
  <si>
    <t>C98220</t>
  </si>
  <si>
    <t>180k</t>
  </si>
  <si>
    <t>C2906999</t>
  </si>
  <si>
    <t>1k</t>
  </si>
  <si>
    <t>C22548</t>
  </si>
  <si>
    <t>390k</t>
  </si>
  <si>
    <t>C137735</t>
  </si>
  <si>
    <t>2,2k</t>
  </si>
  <si>
    <t>C4190</t>
  </si>
  <si>
    <t>Capacitor</t>
  </si>
  <si>
    <t>10n</t>
  </si>
  <si>
    <t>C100042</t>
  </si>
  <si>
    <t>100n</t>
  </si>
  <si>
    <t>C14663</t>
  </si>
  <si>
    <t>10u</t>
  </si>
  <si>
    <t>C440198</t>
  </si>
  <si>
    <t>1u</t>
  </si>
  <si>
    <t>C28323</t>
  </si>
  <si>
    <t>22u</t>
  </si>
  <si>
    <t>C342620</t>
  </si>
  <si>
    <t>C98192</t>
  </si>
  <si>
    <t>VEML7700-TT</t>
  </si>
  <si>
    <t>X</t>
  </si>
  <si>
    <t>C1850416</t>
  </si>
  <si>
    <t>FS8205A</t>
  </si>
  <si>
    <t>C2830320</t>
  </si>
  <si>
    <t>YLED0603B (led)</t>
  </si>
  <si>
    <t>Blue</t>
  </si>
  <si>
    <t>C19171394</t>
  </si>
  <si>
    <t>YLED0603G (led)</t>
  </si>
  <si>
    <t>Green</t>
  </si>
  <si>
    <t>C19273151</t>
  </si>
  <si>
    <t>KT-0603R (led)</t>
  </si>
  <si>
    <t>Red</t>
  </si>
  <si>
    <t>C2286</t>
  </si>
  <si>
    <t>MAX98357AETE+T</t>
  </si>
  <si>
    <t>C910544</t>
  </si>
  <si>
    <t>MCP73871-2AAI/ML</t>
  </si>
  <si>
    <t>C144351</t>
  </si>
  <si>
    <t>C84817</t>
  </si>
  <si>
    <t>MT3608</t>
  </si>
  <si>
    <t>SS14 (diode)</t>
  </si>
  <si>
    <t>C2837270</t>
  </si>
  <si>
    <t>AHT20</t>
  </si>
  <si>
    <t>C2757850</t>
  </si>
  <si>
    <t>MCP23017T-E/ML</t>
  </si>
  <si>
    <t>C629439</t>
  </si>
  <si>
    <t>micro sd card port</t>
  </si>
  <si>
    <t>C506790</t>
  </si>
  <si>
    <t>USB-C port</t>
  </si>
  <si>
    <t>C2765186</t>
  </si>
  <si>
    <t>DW01A</t>
  </si>
  <si>
    <t>C351410</t>
  </si>
  <si>
    <t>Coil</t>
  </si>
  <si>
    <t>C2826664</t>
  </si>
  <si>
    <t>4,7u</t>
  </si>
  <si>
    <t>AMS1117-3.3</t>
  </si>
  <si>
    <t>C6186</t>
  </si>
  <si>
    <t>AO3400A</t>
  </si>
  <si>
    <t>C20917</t>
  </si>
  <si>
    <t>FFC / FPC connector 1mm</t>
  </si>
  <si>
    <t xml:space="preserve">8 pins </t>
  </si>
  <si>
    <t>C262714</t>
  </si>
  <si>
    <t>12 pins</t>
  </si>
  <si>
    <t>C262718</t>
  </si>
  <si>
    <t>ESP32-S3-WROOM-1</t>
  </si>
  <si>
    <t>C2913202</t>
  </si>
  <si>
    <t>price (€)</t>
  </si>
  <si>
    <t xml:space="preserve">Main PCB </t>
  </si>
  <si>
    <t>Buttons PCB</t>
  </si>
  <si>
    <t>Upload GERBER on JLCPCB</t>
  </si>
  <si>
    <t>PCB (JLCPCB)</t>
  </si>
  <si>
    <t>(I had a promo it's 3,4 instead)</t>
  </si>
  <si>
    <t>Aliexpress</t>
  </si>
  <si>
    <t>Others components (not in LCSC)</t>
  </si>
  <si>
    <t>Switch push buttons</t>
  </si>
  <si>
    <t>Link</t>
  </si>
  <si>
    <t>EC11 rotary encoder</t>
  </si>
  <si>
    <t xml:space="preserve">Touch screen </t>
  </si>
  <si>
    <t>4 inch</t>
  </si>
  <si>
    <t>Speaker</t>
  </si>
  <si>
    <t xml:space="preserve">8 ohm </t>
  </si>
  <si>
    <t xml:space="preserve">keyboard switch </t>
  </si>
  <si>
    <t>Servo motor</t>
  </si>
  <si>
    <t xml:space="preserve">180 degrees </t>
  </si>
  <si>
    <t>LED COB</t>
  </si>
  <si>
    <t xml:space="preserve">24V 8W </t>
  </si>
  <si>
    <t>Heat sink</t>
  </si>
  <si>
    <t xml:space="preserve">with fan 12V </t>
  </si>
  <si>
    <t>Male pins</t>
  </si>
  <si>
    <t>Female pins</t>
  </si>
  <si>
    <t>14 pins</t>
  </si>
  <si>
    <t xml:space="preserve">Battery </t>
  </si>
  <si>
    <t>Led strip</t>
  </si>
  <si>
    <t>addressable 1m</t>
  </si>
  <si>
    <t>6mm.6mm.5.5mm</t>
  </si>
  <si>
    <t>3D-printed insert</t>
  </si>
  <si>
    <t>M3</t>
  </si>
  <si>
    <t>Screw</t>
  </si>
  <si>
    <t xml:space="preserve">M3 </t>
  </si>
  <si>
    <t>17 pins</t>
  </si>
  <si>
    <t>Micro SD card</t>
  </si>
  <si>
    <t>4go</t>
  </si>
  <si>
    <t xml:space="preserve">FPC cable </t>
  </si>
  <si>
    <t>12pins 15cm 1mm</t>
  </si>
  <si>
    <t>8pins 10cm 1mm</t>
  </si>
  <si>
    <t>epoxy resin</t>
  </si>
  <si>
    <t>50ml + 50ml</t>
  </si>
  <si>
    <t>Water pump</t>
  </si>
  <si>
    <t>Pipe</t>
  </si>
  <si>
    <t>1m</t>
  </si>
  <si>
    <t>5V</t>
  </si>
  <si>
    <t xml:space="preserve">Décoration </t>
  </si>
  <si>
    <t>Log (for the base)</t>
  </si>
  <si>
    <t>14-16cm</t>
  </si>
  <si>
    <t>Temple</t>
  </si>
  <si>
    <t>Moss 1</t>
  </si>
  <si>
    <t>Moss 2</t>
  </si>
  <si>
    <t>Cherry tree</t>
  </si>
  <si>
    <t>20g</t>
  </si>
  <si>
    <t>1kg + 1kg</t>
  </si>
  <si>
    <t>Bridge</t>
  </si>
  <si>
    <t>Full price</t>
  </si>
  <si>
    <t>Real price</t>
  </si>
  <si>
    <t>LCSC</t>
  </si>
  <si>
    <t>Amazon</t>
  </si>
  <si>
    <t>JLCPCB</t>
  </si>
  <si>
    <t>PLA black +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</si>
</sst>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Fill="1" applyBorder="1"/>
    <xf numFmtId="0" fontId="1" fillId="0" borderId="1" xfId="1" applyBorder="1"/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4190.html?s_z=n_q_C4190" TargetMode="External"/><Relationship Id="rId18" Type="http://schemas.openxmlformats.org/officeDocument/2006/relationships/hyperlink" Target="https://www.lcsc.com/product-detail/C342620.html?s_z=n_q_C342620" TargetMode="External"/><Relationship Id="rId26" Type="http://schemas.openxmlformats.org/officeDocument/2006/relationships/hyperlink" Target="https://www.lcsc.com/product-detail/C144351.html?s_z=n_q_C144351" TargetMode="External"/><Relationship Id="rId39" Type="http://schemas.openxmlformats.org/officeDocument/2006/relationships/hyperlink" Target="https://www.lcsc.com/product-detail/C2913202.html?s_z=n_q_C2913202" TargetMode="External"/><Relationship Id="rId21" Type="http://schemas.openxmlformats.org/officeDocument/2006/relationships/hyperlink" Target="https://www.lcsc.com/product-detail/C2830320.html?s_z=n_q_C2830320" TargetMode="External"/><Relationship Id="rId34" Type="http://schemas.openxmlformats.org/officeDocument/2006/relationships/hyperlink" Target="https://www.lcsc.com/product-detail/C2826664.html?s_z=n_q_C2826664" TargetMode="External"/><Relationship Id="rId42" Type="http://schemas.openxmlformats.org/officeDocument/2006/relationships/hyperlink" Target="https://fr.aliexpress.com/item/1005006373977700.html?spm=a2g0o.order_list.order_list_main.31.7ad85e5bKRycfW&amp;gatewayAdapt=glo2fra" TargetMode="External"/><Relationship Id="rId47" Type="http://schemas.openxmlformats.org/officeDocument/2006/relationships/hyperlink" Target="https://fr.aliexpress.com/item/1005007653131713.html?spm=a2g0o.productlist.main.3.671dji9Wji9WHr&amp;algo_pvid=d28916fb-d117-4e21-a8bf-128ba027a72c&amp;algo_exp_id=d28916fb-d117-4e21-a8bf-128ba027a72c-2&amp;pdp_ext_f=%7B%22order%22%3A%228316%22%2C%22spu_best_type%22%3A%22price%22%2C%22eval%22%3A%221%22%2C%22fromPage%22%3A%22search%22%7D&amp;pdp_npi=6%40dis%21EUR%211.29%211.28%21%21%211.48%211.47%21%40211b804117766895408644904ede8d%2112000041667111500%21sea%21FR%214574440125%21X%211%210%21n_tag%3A-29919%3Bd%3Adeb9f4e8%3Bm03_new_user%3A-29895&amp;curPageLogUid=Q60nQoBk4Yrg&amp;utparam-url=scene%3Asearch%7Cquery_from%3A%7Cx_object_id%3A1005007653131713%7C_p_origin_prod%3A" TargetMode="External"/><Relationship Id="rId50" Type="http://schemas.openxmlformats.org/officeDocument/2006/relationships/hyperlink" Target="https://fr.aliexpress.com/item/1005007561337665.html?spm=a2g0o.productlist.main.3.70b5665aRkXhON&amp;algo_pvid=f6e46565-645f-4916-bcb5-3418f3b24218&amp;algo_exp_id=f6e46565-645f-4916-bcb5-3418f3b24218-2&amp;pdp_ext_f=%7B%22order%22%3A%2214602%22%2C%22eval%22%3A%221%22%2C%22fromPage%22%3A%22search%22%7D&amp;pdp_npi=6%40dis%21EUR%210.86%210.88%21%21%210.97%211.00%21%40210390c917753461536548442ee33e%2112000041574496886%21sea%21FR%214574440125%21X%211%210%21n_tag%3A-29919%3Bd%3Adeb9f4e8%3Bm03_new_user%3A-29895&amp;curPageLogUid=mSe6VonZrcUM&amp;utparam-url=scene%3Asearch%7Cquery_from%3A%7Cx_object_id%3A1005007561337665%7C_p_origin_prod%3A&amp;dp=gx-row-aliexpress-aliexpress-sd2" TargetMode="External"/><Relationship Id="rId55" Type="http://schemas.openxmlformats.org/officeDocument/2006/relationships/hyperlink" Target="https://fr.aliexpress.com/item/1005007635992230.html?spm=a2g0o.cart.0.0.fcc7378dJ9QcPs&amp;mp=1&amp;pdp_npi=6%40dis%21EUR%21EUR+13.79%21EUR+4.89%21%21EUR+4.89%21%21%21%4021038e1e17767163962626698e72e3%2112000041589514526%21ct%21FR%214574440125%21%212%210%21&amp;gatewayAdapt=glo2fra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https://www.lcsc.com/product-detail/C2907044.html?s_z=n_q_C2907044" TargetMode="External"/><Relationship Id="rId2" Type="http://schemas.openxmlformats.org/officeDocument/2006/relationships/hyperlink" Target="https://fr.aliexpress.com/item/1005003824684681.html?spm=a2g0o.order_list.order_list_main.72.7ad85e5buKfVZj&amp;gatewayAdapt=glo2fra" TargetMode="External"/><Relationship Id="rId16" Type="http://schemas.openxmlformats.org/officeDocument/2006/relationships/hyperlink" Target="https://www.lcsc.com/product-detail/C440198.html?s_z=n_q_C440198" TargetMode="External"/><Relationship Id="rId29" Type="http://schemas.openxmlformats.org/officeDocument/2006/relationships/hyperlink" Target="https://www.lcsc.com/product-detail/C2757850.html?s_z=n_q_C2757850" TargetMode="External"/><Relationship Id="rId11" Type="http://schemas.openxmlformats.org/officeDocument/2006/relationships/hyperlink" Target="https://www.lcsc.com/product-detail/C22548.html?s_z=n_q_C22548" TargetMode="External"/><Relationship Id="rId24" Type="http://schemas.openxmlformats.org/officeDocument/2006/relationships/hyperlink" Target="https://www.lcsc.com/product-detail/C2286.html?s_z=n_q_C2286" TargetMode="External"/><Relationship Id="rId32" Type="http://schemas.openxmlformats.org/officeDocument/2006/relationships/hyperlink" Target="https://www.lcsc.com/product-detail/C2765186.html?s_z=n_q_C2765186" TargetMode="External"/><Relationship Id="rId37" Type="http://schemas.openxmlformats.org/officeDocument/2006/relationships/hyperlink" Target="https://www.lcsc.com/product-detail/C262714.html?s_z=n_q_C262714" TargetMode="External"/><Relationship Id="rId40" Type="http://schemas.openxmlformats.org/officeDocument/2006/relationships/hyperlink" Target="https://fr.aliexpress.com/item/1005006298192363.html?spm=a2g0o.productlist.main.4.3cc17PcV7PcVoP&amp;aem_p4p_detail=20260420051937581850722750000002583780&amp;algo_pvid=de204b02-7f59-4117-92db-e18d65619d3b&amp;algo_exp_id=de204b02-7f59-4117-92db-e18d65619d3b-3&amp;pdp_ext_f=%7B%22order%22%3A%22120%22%2C%22eval%22%3A%221%22%2C%22fromPage%22%3A%22search%22%7D&amp;pdp_npi=6%40dis%21EUR%214.42%214.39%21%21%2134.64%2134.38%21%40211b441e17766875772772830e9790%2112000036662929125%21sea%21FR%214574440125%21X%211%210%21n_tag%3A-29919%3Bd%3Adeb9f4e8%3Bm03_new_user%3A-29895&amp;curPageLogUid=gooq9QGv7BWw&amp;utparam-url=scene%3Asearch%7Cquery_from%3A%7Cx_object_id%3A1005006298192363%7C_p_origin_prod%3A&amp;search_p4p_id=20260420051937581850722750000002583780_1" TargetMode="External"/><Relationship Id="rId45" Type="http://schemas.openxmlformats.org/officeDocument/2006/relationships/hyperlink" Target="https://fr.aliexpress.com/item/1005008704468583.html?spm=a2g0o.productlist.main.4.5d994083vCf0q4&amp;aem_p4p_detail=2026042005322830338988690660002863085&amp;algo_pvid=fef67acd-2245-4504-8524-b9b4f33e3de2&amp;algo_exp_id=fef67acd-2245-4504-8524-b9b4f33e3de2-3&amp;pdp_ext_f=%7B%22order%22%3A%221850%22%2C%22spu_best_type%22%3A%22price%22%2C%22eval%22%3A%221%22%2C%22fromPage%22%3A%22search%22%7D&amp;pdp_npi=6%40dis%21EUR%216.63%216.59%21%21%2151.91%2151.60%21%402103847817766883479295120e8c6b%2112000046345840139%21sea%21FR%214574440125%21X%211%210%21n_tag%3A-29919%3Bd%3Adeb9f4e8%3Bm03_new_user%3A-29895&amp;curPageLogUid=UXVh5AwultNA&amp;utparam-url=scene%3Asearch%7Cquery_from%3A%7Cx_object_id%3A1005008704468583%7C_p_origin_prod%3A&amp;search_p4p_id=2026042005322830338988690660002863085_1" TargetMode="External"/><Relationship Id="rId53" Type="http://schemas.openxmlformats.org/officeDocument/2006/relationships/hyperlink" Target="https://fr.aliexpress.com/item/1005006614378374.html?spm=a2g0o.productlist.main.8.155429532AzaRY&amp;aem_p4p_detail=202604110708184115315716552040001501508&amp;algo_pvid=df5dd217-05fe-40b3-9df1-fc3397946505&amp;algo_exp_id=df5dd217-05fe-40b3-9df1-fc3397946505-7&amp;pdp_ext_f=%7B%22order%22%3A%222268%22%2C%22eval%22%3A%221%22%2C%22fromPage%22%3A%22search%22%7D&amp;pdp_npi=6%40dis%21EUR%211.69%211.69%21%21%2113.19%2113.17%21%40211b813b17759164981563915ec4a9%2112000048934556977%21sea%21FR%214574440125%21X%211%210%21n_tag%3A-29919%3Bd%3Adeb9f4e8%3Bm03_new_user%3A-29895&amp;curPageLogUid=Rlr1CDxybj0p&amp;utparam-url=scene%3Asearch%7Cquery_from%3A%7Cx_object_id%3A1005006614378374%7C_p_origin_prod%3A&amp;search_p4p_id=202604110708184115315716552040001501508_2&amp;dp=gx-row-aliexpress-aliexpress-sd2" TargetMode="External"/><Relationship Id="rId58" Type="http://schemas.openxmlformats.org/officeDocument/2006/relationships/hyperlink" Target="https://fr.aliexpress.com/item/1005005026348059.html?spm=a2g0o.productlist.main.14.650d601aISUFUZ&amp;algo_pvid=b1b3a46a-3f70-482d-b92a-98b82410f343&amp;algo_exp_id=b1b3a46a-3f70-482d-b92a-98b82410f343-14&amp;pdp_ext_f=%7B%22order%22%3A%227114%22%2C%22spu_best_type%22%3A%22price%22%2C%22eval%22%3A%221%22%2C%22fromPage%22%3A%22search%22%7D&amp;pdp_npi=6%40dis%21EUR%211.22%211.22%21%21%219.59%219.59%21%40210390c217767167990554613e2674%2112000035441880430%21sea%21FR%214574440125%21X%211%210%21n_tag%3A-29919%3Bd%3Adeb9f4e8%3Bm03_new_user%3A-29895&amp;curPageLogUid=WHp4W42rZr0k&amp;utparam-url=scene%3Asearch%7Cquery_from%3A%7Cx_object_id%3A1005005026348059%7C_p_origin_prod%3A" TargetMode="External"/><Relationship Id="rId5" Type="http://schemas.openxmlformats.org/officeDocument/2006/relationships/hyperlink" Target="https://www.lcsc.com/product-detail/C105588.html?s_z=n_q_C105588" TargetMode="External"/><Relationship Id="rId61" Type="http://schemas.openxmlformats.org/officeDocument/2006/relationships/hyperlink" Target="https://fr.aliexpress.com/item/1005003493992894.html?spm=a2g0o.productlist.main.9.79f0IXnNIXnNlw&amp;algo_pvid=f79d22f7-d255-4acc-8846-27f88d4444c1&amp;algo_exp_id=f79d22f7-d255-4acc-8846-27f88d4444c1-8&amp;pdp_ext_f=%7B%22order%22%3A%22152%22%2C%22spu_best_type%22%3A%22price%22%2C%22eval%22%3A%221%22%2C%22fromPage%22%3A%22search%22%7D&amp;pdp_npi=6%40dis%21EUR%211.05%211.05%21%21%211.21%211.21%21%40211b655217767177091742074e411a%2112000026044856315%21sea%21FR%214574440125%21X%211%210%21n_tag%3A-29919%3Bd%3Adeb9f4e8%3Bm03_new_user%3A-29895&amp;curPageLogUid=BrLVJl9Xb5AY&amp;utparam-url=scene%3Asearch%7Cquery_from%3A%7Cx_object_id%3A1005003493992894%7C_p_origin_prod%3A" TargetMode="External"/><Relationship Id="rId19" Type="http://schemas.openxmlformats.org/officeDocument/2006/relationships/hyperlink" Target="https://www.lcsc.com/product-detail/C98192.html?s_z=n_q_C98192" TargetMode="External"/><Relationship Id="rId14" Type="http://schemas.openxmlformats.org/officeDocument/2006/relationships/hyperlink" Target="https://www.lcsc.com/product-detail/C100042.html?s_z=n_q_C100042" TargetMode="External"/><Relationship Id="rId22" Type="http://schemas.openxmlformats.org/officeDocument/2006/relationships/hyperlink" Target="https://www.lcsc.com/product-detail/C19171394.html?s_z=n_q_C19171394" TargetMode="External"/><Relationship Id="rId27" Type="http://schemas.openxmlformats.org/officeDocument/2006/relationships/hyperlink" Target="https://www.lcsc.com/product-detail/C84817.html?s_z=n_q_C84817" TargetMode="External"/><Relationship Id="rId30" Type="http://schemas.openxmlformats.org/officeDocument/2006/relationships/hyperlink" Target="https://www.lcsc.com/product-detail/C629439.html?s_z=n_q_C629439" TargetMode="External"/><Relationship Id="rId35" Type="http://schemas.openxmlformats.org/officeDocument/2006/relationships/hyperlink" Target="https://www.lcsc.com/product-detail/C6186.html?s_z=n_q_C6186" TargetMode="External"/><Relationship Id="rId43" Type="http://schemas.openxmlformats.org/officeDocument/2006/relationships/hyperlink" Target="https://fr.aliexpress.com/item/1005003605697738.html?spm=a2g0o.order_list.order_list_main.4.7ad85e5bKRycfW&amp;gatewayAdapt=glo2fra" TargetMode="External"/><Relationship Id="rId48" Type="http://schemas.openxmlformats.org/officeDocument/2006/relationships/hyperlink" Target="https://fr.aliexpress.com/item/32968616563.html?spm=a2g0o.productlist.main.2.29c7egnEegnEi3&amp;algo_pvid=482cbda0-e138-4fc0-a219-05ddd33178eb&amp;algo_exp_id=482cbda0-e138-4fc0-a219-05ddd33178eb-1&amp;pdp_ext_f=%7B%22order%22%3A%2216207%22%2C%22eval%22%3A%221%22%2C%22fromPage%22%3A%22search%22%7D&amp;pdp_npi=6%40dis%21EUR%211.52%211.54%21%21%211.74%211.77%21%402103864c17766902300452665e1bf9%2166576899407%21sea%21FR%214574440125%21X%211%210%21n_tag%3A-29919%3Bd%3Adeb9f4e8%3Bm03_new_user%3A-29895&amp;curPageLogUid=VC2mM7krZnQV&amp;utparam-url=scene%3Asearch%7Cquery_from%3A%7Cx_object_id%3A32968616563%7C_p_origin_prod%3A" TargetMode="External"/><Relationship Id="rId56" Type="http://schemas.openxmlformats.org/officeDocument/2006/relationships/hyperlink" Target="https://fr.aliexpress.com/item/1005003593401791.html?spm=a2g0o.detail.pcDetailTopMoreOtherSeller.1.1ee9QO6wQO6w2R&amp;gps-id=pcDetailTopMoreOtherSeller&amp;scm=1007.40050.354490.0&amp;scm_id=1007.40050.354490.0&amp;scm-url=1007.40050.354490.0&amp;pvid=e83b2316-a10b-44e3-af85-06102b5ea2b7&amp;_t=gps-id:pcDetailTopMoreOtherSeller,scm-url:1007.40050.354490.0,pvid:e83b2316-a10b-44e3-af85-06102b5ea2b7,tpp_buckets:668%232846%238114%231999&amp;isseo=y&amp;pdp_ext_f=%7B%22order%22%3A%224160%22%2C%22eval%22%3A%221%22%2C%22sceneId%22%3A%2230050%22%2C%22fromPage%22%3A%22recommend%22%7D&amp;pdp_npi=6%40dis%21EUR%212.23%212.09%21%21%2117.35%2116.29%21%40210384cc17759123065551438e617c%2112000027586875434%21rec%21FR%214574440125%21XZ%211%210%21n_tag%3A-29919%3Bd%3Adeb9f4e8%3Bm03_new_user%3A-29895%3BpisId%3A5000000203746013&amp;utparam-url=scene%3ApcDetailTopMoreOtherSeller%7Cquery_from%3A%7Cx_object_id%3A1005003593401791%7C_p_origin_prod%3A&amp;dp=gx-row-aliexpress-aliexpress-sd2" TargetMode="External"/><Relationship Id="rId64" Type="http://schemas.openxmlformats.org/officeDocument/2006/relationships/comments" Target="../comments1.xml"/><Relationship Id="rId8" Type="http://schemas.openxmlformats.org/officeDocument/2006/relationships/hyperlink" Target="https://www.lcsc.com/product-detail/C2907115.html?s_z=n_q_C2907115" TargetMode="External"/><Relationship Id="rId51" Type="http://schemas.openxmlformats.org/officeDocument/2006/relationships/hyperlink" Target="https://fr.aliexpress.com/item/1005007561337665.html?spm=a2g0o.productlist.main.3.70b5665aRkXhON&amp;algo_pvid=f6e46565-645f-4916-bcb5-3418f3b24218&amp;algo_exp_id=f6e46565-645f-4916-bcb5-3418f3b24218-2&amp;pdp_ext_f=%7B%22order%22%3A%2214602%22%2C%22eval%22%3A%221%22%2C%22fromPage%22%3A%22search%22%7D&amp;pdp_npi=6%40dis%21EUR%210.86%210.88%21%21%210.97%211.00%21%40210390c917753461536548442ee33e%2112000041574496886%21sea%21FR%214574440125%21X%211%210%21n_tag%3A-29919%3Bd%3Adeb9f4e8%3Bm03_new_user%3A-29895&amp;curPageLogUid=mSe6VonZrcUM&amp;utparam-url=scene%3Asearch%7Cquery_from%3A%7Cx_object_id%3A1005007561337665%7C_p_origin_prod%3A&amp;dp=gx-row-aliexpress-aliexpress-sd2" TargetMode="External"/><Relationship Id="rId3" Type="http://schemas.openxmlformats.org/officeDocument/2006/relationships/hyperlink" Target="https://fr.aliexpress.com/item/1005005791515997.html?spm=a2g0o.order_list.order_list_main.88.7ad85e5buKfVZj&amp;gatewayAdapt=glo2fra" TargetMode="External"/><Relationship Id="rId12" Type="http://schemas.openxmlformats.org/officeDocument/2006/relationships/hyperlink" Target="https://www.lcsc.com/product-detail/C137735.html?s_z=n_q_C137735" TargetMode="External"/><Relationship Id="rId17" Type="http://schemas.openxmlformats.org/officeDocument/2006/relationships/hyperlink" Target="https://www.lcsc.com/product-detail/C28323.html?s_z=n_q_C28323" TargetMode="External"/><Relationship Id="rId25" Type="http://schemas.openxmlformats.org/officeDocument/2006/relationships/hyperlink" Target="https://www.lcsc.com/product-detail/C910544.html?s_z=n_q_C910544" TargetMode="External"/><Relationship Id="rId33" Type="http://schemas.openxmlformats.org/officeDocument/2006/relationships/hyperlink" Target="https://www.lcsc.com/product-detail/C351410.html?s_z=n_q_C351410" TargetMode="External"/><Relationship Id="rId38" Type="http://schemas.openxmlformats.org/officeDocument/2006/relationships/hyperlink" Target="https://www.lcsc.com/product-detail/C262718.html?s_z=n_q_C262718" TargetMode="External"/><Relationship Id="rId46" Type="http://schemas.openxmlformats.org/officeDocument/2006/relationships/hyperlink" Target="https://fr.aliexpress.com/item/1005009613294814.html?spm=a2g0o.productlist.main.1.79c9m06om06oxX&amp;algo_pvid=551d0b32-dfc4-4d33-8e75-31906e37e9dc&amp;algo_exp_id=551d0b32-dfc4-4d33-8e75-31906e37e9dc-0&amp;pdp_ext_f=%7B%22order%22%3A%222922%22%2C%22eval%22%3A%221%22%2C%22fromPage%22%3A%22search%22%7D&amp;pdp_npi=6%40dis%21EUR%214.19%214.19%21%21%2132.81%2132.81%21%402103963717766884554746746e62e0%2112000049661583500%21sea%21FR%214574440125%21X%211%210%21n_tag%3A-29919%3Bd%3Adeb9f4e8%3Bm03_new_user%3A-29895&amp;curPageLogUid=OopZgshG9YMS&amp;utparam-url=scene%3Asearch%7Cquery_from%3A%7Cx_object_id%3A1005009613294814%7C_p_origin_prod%3A" TargetMode="External"/><Relationship Id="rId59" Type="http://schemas.openxmlformats.org/officeDocument/2006/relationships/hyperlink" Target="https://fr.aliexpress.com/item/1005005026348059.html?spm=a2g0o.productlist.main.14.650d601aISUFUZ&amp;algo_pvid=b1b3a46a-3f70-482d-b92a-98b82410f343&amp;algo_exp_id=b1b3a46a-3f70-482d-b92a-98b82410f343-14&amp;pdp_ext_f=%7B%22order%22%3A%227114%22%2C%22spu_best_type%22%3A%22price%22%2C%22eval%22%3A%221%22%2C%22fromPage%22%3A%22search%22%7D&amp;pdp_npi=6%40dis%21EUR%211.22%211.22%21%21%219.59%219.59%21%40210390c217767167990554613e2674%2112000035441880430%21sea%21FR%214574440125%21X%211%210%21n_tag%3A-29919%3Bd%3Adeb9f4e8%3Bm03_new_user%3A-29895&amp;curPageLogUid=WHp4W42rZr0k&amp;utparam-url=scene%3Asearch%7Cquery_from%3A%7Cx_object_id%3A1005005026348059%7C_p_origin_prod%3A" TargetMode="External"/><Relationship Id="rId20" Type="http://schemas.openxmlformats.org/officeDocument/2006/relationships/hyperlink" Target="https://www.lcsc.com/product-detail/C1850416.html?s_z=n_q_C1850416" TargetMode="External"/><Relationship Id="rId41" Type="http://schemas.openxmlformats.org/officeDocument/2006/relationships/hyperlink" Target="https://fr.aliexpress.com/item/1005006572297006.html?spm=a2g0o.productlist.main.3.161b453dfutYxM&amp;algo_pvid=9a6d6acb-bc1c-4fd7-907a-212b61f561fe&amp;algo_exp_id=9a6d6acb-bc1c-4fd7-907a-212b61f561fe-2&amp;pdp_ext_f=%7B%22order%22%3A%227287%22%2C%22spu_best_type%22%3A%22price%22%2C%22eval%22%3A%221%22%2C%22fromPage%22%3A%22search%22%7D&amp;pdp_npi=6%40dis%21EUR%212.70%212.70%21%21%213.10%213.10%21%402103847817766877794652446e8c72%2112000037705759120%21sea%21FR%214574440125%21X%211%210%21n_tag%3A-29919%3Bd%3Adeb9f4e8%3Bm03_new_user%3A-29895&amp;curPageLogUid=upkbVzHBRk64&amp;utparam-url=scene%3Asearch%7Cquery_from%3A%7Cx_object_id%3A1005006572297006%7C_p_origin_prod%3A" TargetMode="External"/><Relationship Id="rId54" Type="http://schemas.openxmlformats.org/officeDocument/2006/relationships/hyperlink" Target="https://fr.aliexpress.com/item/1005006614378374.html?spm=a2g0o.productlist.main.8.155429532AzaRY&amp;aem_p4p_detail=202604110708184115315716552040001501508&amp;algo_pvid=df5dd217-05fe-40b3-9df1-fc3397946505&amp;algo_exp_id=df5dd217-05fe-40b3-9df1-fc3397946505-7&amp;pdp_ext_f=%7B%22order%22%3A%222268%22%2C%22eval%22%3A%221%22%2C%22fromPage%22%3A%22search%22%7D&amp;pdp_npi=6%40dis%21EUR%211.69%211.69%21%21%2113.19%2113.17%21%40211b813b17759164981563915ec4a9%2112000048934556977%21sea%21FR%214574440125%21X%211%210%21n_tag%3A-29919%3Bd%3Adeb9f4e8%3Bm03_new_user%3A-29895&amp;curPageLogUid=Rlr1CDxybj0p&amp;utparam-url=scene%3Asearch%7Cquery_from%3A%7Cx_object_id%3A1005006614378374%7C_p_origin_prod%3A&amp;search_p4p_id=202604110708184115315716552040001501508_2&amp;dp=gx-row-aliexpress-aliexpress-sd2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fr.aliexpress.com/item/1005001629177989.html?spm=a2g0o.order_list.order_list_main.62.7ad85e5buKfVZj&amp;gatewayAdapt=glo2fra" TargetMode="External"/><Relationship Id="rId6" Type="http://schemas.openxmlformats.org/officeDocument/2006/relationships/hyperlink" Target="https://www.lcsc.com/product-detail/C2930092.html?s_z=n_q_C2930092" TargetMode="External"/><Relationship Id="rId15" Type="http://schemas.openxmlformats.org/officeDocument/2006/relationships/hyperlink" Target="https://www.lcsc.com/product-detail/C14663.html?s_z=n_q_C14663" TargetMode="External"/><Relationship Id="rId23" Type="http://schemas.openxmlformats.org/officeDocument/2006/relationships/hyperlink" Target="https://www.lcsc.com/product-detail/C19273151.html?s_z=n_q_C19273151" TargetMode="External"/><Relationship Id="rId28" Type="http://schemas.openxmlformats.org/officeDocument/2006/relationships/hyperlink" Target="https://www.lcsc.com/product-detail/C2837270.html?s_z=n_q_C2837270" TargetMode="External"/><Relationship Id="rId36" Type="http://schemas.openxmlformats.org/officeDocument/2006/relationships/hyperlink" Target="https://www.lcsc.com/product-detail/C20917.html?s_z=n_q_C20917" TargetMode="External"/><Relationship Id="rId49" Type="http://schemas.openxmlformats.org/officeDocument/2006/relationships/hyperlink" Target="https://fr.aliexpress.com/item/1005008059516973.html?spm=a2g0o.productlist.main.14.6322393bffTO4B&amp;algo_pvid=f5a618a9-1f14-4e0f-9c6e-9bf4f824cb72&amp;algo_exp_id=f5a618a9-1f14-4e0f-9c6e-9bf4f824cb72-13&amp;pdp_ext_f=%7B%22order%22%3A%221262%22%2C%22eval%22%3A%221%22%2C%22fromPage%22%3A%22search%22%7D&amp;pdp_npi=6%40dis%21EUR%213.29%213.29%21%21%213.78%213.78%21%402103868817767145575881272eb46e%2112000043491539704%21sea%21FR%214574440125%21X%211%210%21n_tag%3A-29919%3Bd%3Adeb9f4e8%3Bm03_new_user%3A-29895&amp;curPageLogUid=3sIpPzvfLVUV&amp;utparam-url=scene%3Asearch%7Cquery_from%3A%7Cx_object_id%3A1005008059516973%7C_p_origin_prod%3A" TargetMode="External"/><Relationship Id="rId57" Type="http://schemas.openxmlformats.org/officeDocument/2006/relationships/hyperlink" Target="https://fr.aliexpress.com/item/1005007500230985.html?spm=a2g0o.productlist.main.1.7ac3NHEPNHEPw6&amp;algo_pvid=1cc4dd1f-0db0-4eda-a8ce-cb1fb5550644&amp;algo_exp_id=1cc4dd1f-0db0-4eda-a8ce-cb1fb5550644-0&amp;pdp_ext_f=%7B%22order%22%3A%2231%22%2C%22eval%22%3A%221%22%2C%22fromPage%22%3A%22search%22%7D&amp;pdp_npi=6%40dis%21EUR%212.10%212.10%21%21%2116.44%2116.44%21%40211b61d017767166044093479e4427%2112000041038787164%21sea%21FR%214574440125%21X%211%210%21n_tag%3A-29919%3Bd%3Adeb9f4e8%3Bm03_new_user%3A-29895&amp;curPageLogUid=3TB0Xy0rew2e&amp;utparam-url=scene%3Asearch%7Cquery_from%3A%7Cx_object_id%3A1005007500230985%7C_p_origin_prod%3A" TargetMode="External"/><Relationship Id="rId10" Type="http://schemas.openxmlformats.org/officeDocument/2006/relationships/hyperlink" Target="https://www.lcsc.com/product-detail/C2906999.html?s_z=n_q_C2906999" TargetMode="External"/><Relationship Id="rId31" Type="http://schemas.openxmlformats.org/officeDocument/2006/relationships/hyperlink" Target="https://www.lcsc.com/product-detail/C506790.html?s_z=n_q_C506790" TargetMode="External"/><Relationship Id="rId44" Type="http://schemas.openxmlformats.org/officeDocument/2006/relationships/hyperlink" Target="https://fr.aliexpress.com/item/4000873858801.html?spm=a2g0o.detail.0.0.7431OFB2OFB22I&amp;mp=1&amp;pdp_npi=6%40dis%21EUR%21EUR+1.89%21EUR+1.89%21%21EUR+1.89%21%21%21%40211b619a17766879297506115eaa45%2110000010058190554%21ct%21FR%214574440125%21%211%210%21&amp;gatewayAdapt=glo2fra" TargetMode="External"/><Relationship Id="rId52" Type="http://schemas.openxmlformats.org/officeDocument/2006/relationships/hyperlink" Target="https://fr.aliexpress.com/item/1005007345256355.html?spm=a2g0o.productlist.main.2.70a24fa42cA3XD&amp;algo_pvid=39bbaacb-95f0-4b3d-b5ca-c723178a4228&amp;algo_exp_id=39bbaacb-95f0-4b3d-b5ca-c723178a4228-1&amp;pdp_ext_f=%7B%22order%22%3A%2214592%22%2C%22eval%22%3A%221%22%2C%22orig_sl_item_id%22%3A%221005007345256355%22%2C%22orig_item_id%22%3A%221005006979418370%22%2C%22fromPage%22%3A%22search%22%7D&amp;pdp_npi=6%40dis%21EUR%2117.90%218.59%21%21%21140.17%2167.27%21%40211b613917767150986877395e5e52%2112000040354104517%21sea%21FR%214574440125%21X%211%210%21n_tag%3A-29919%3Bd%3Adeb9f4e8%3Bm03_new_user%3A-29895&amp;curPageLogUid=9vanx70l8WJk&amp;utparam-url=scene%3Asearch%7Cquery_from%3A%7Cx_object_id%3A1005007345256355%7C_p_origin_prod%3A1005006979418370" TargetMode="External"/><Relationship Id="rId60" Type="http://schemas.openxmlformats.org/officeDocument/2006/relationships/hyperlink" Target="https://www.amazon.fr/gp/product/B0CV4V5L7T/ref=ewc_pr_img_1?smid=AKWYTSYUMR87P&amp;th=1" TargetMode="External"/><Relationship Id="rId4" Type="http://schemas.openxmlformats.org/officeDocument/2006/relationships/hyperlink" Target="https://fr.aliexpress.com/item/4000034945525.html?spm=a2g0o.store_pc_home.promoteRecommendProducts_6105935.4000034945525&amp;gatewayAdapt=glo2fra" TargetMode="External"/><Relationship Id="rId9" Type="http://schemas.openxmlformats.org/officeDocument/2006/relationships/hyperlink" Target="https://www.lcsc.com/product-detail/C98220.html?s_z=n_q_C98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4" zoomScale="130" zoomScaleNormal="130" workbookViewId="0">
      <selection activeCell="H67" sqref="H67"/>
    </sheetView>
  </sheetViews>
  <sheetFormatPr defaultRowHeight="15" x14ac:dyDescent="0.25"/>
  <cols>
    <col min="1" max="1" width="29.85546875" customWidth="1"/>
    <col min="2" max="2" width="22.140625" customWidth="1"/>
    <col min="3" max="3" width="16.5703125" customWidth="1"/>
    <col min="4" max="4" width="19.140625" customWidth="1"/>
    <col min="5" max="5" width="14.5703125" customWidth="1"/>
  </cols>
  <sheetData>
    <row r="1" spans="1:6" x14ac:dyDescent="0.25">
      <c r="A1" s="5" t="s">
        <v>3</v>
      </c>
      <c r="B1" s="1" t="s">
        <v>0</v>
      </c>
      <c r="C1" s="1" t="s">
        <v>1</v>
      </c>
      <c r="D1" s="6" t="s">
        <v>8</v>
      </c>
      <c r="E1" s="1" t="s">
        <v>11</v>
      </c>
      <c r="F1" s="1" t="s">
        <v>80</v>
      </c>
    </row>
    <row r="2" spans="1:6" x14ac:dyDescent="0.25">
      <c r="A2" s="2"/>
      <c r="B2" s="1" t="s">
        <v>2</v>
      </c>
      <c r="C2" s="3">
        <v>100</v>
      </c>
      <c r="D2" s="3">
        <v>1</v>
      </c>
      <c r="E2" s="7" t="s">
        <v>4</v>
      </c>
      <c r="F2" s="11">
        <v>0.13</v>
      </c>
    </row>
    <row r="3" spans="1:6" x14ac:dyDescent="0.25">
      <c r="A3" s="2"/>
      <c r="B3" s="1"/>
      <c r="C3" s="3">
        <v>300</v>
      </c>
      <c r="D3" s="3">
        <v>1</v>
      </c>
      <c r="E3" s="7" t="s">
        <v>5</v>
      </c>
      <c r="F3" s="11">
        <v>0.12</v>
      </c>
    </row>
    <row r="4" spans="1:6" x14ac:dyDescent="0.25">
      <c r="A4" s="2"/>
      <c r="B4" s="1"/>
      <c r="C4" s="3" t="s">
        <v>6</v>
      </c>
      <c r="D4" s="3">
        <v>2</v>
      </c>
      <c r="E4" s="7" t="s">
        <v>7</v>
      </c>
      <c r="F4" s="11">
        <v>0.11</v>
      </c>
    </row>
    <row r="5" spans="1:6" x14ac:dyDescent="0.25">
      <c r="A5" s="2"/>
      <c r="B5" s="1"/>
      <c r="C5" s="3" t="s">
        <v>9</v>
      </c>
      <c r="D5" s="3">
        <v>1</v>
      </c>
      <c r="E5" s="7" t="s">
        <v>10</v>
      </c>
      <c r="F5" s="11">
        <v>0.08</v>
      </c>
    </row>
    <row r="6" spans="1:6" x14ac:dyDescent="0.25">
      <c r="A6" s="2"/>
      <c r="B6" s="1"/>
      <c r="C6" s="3" t="s">
        <v>12</v>
      </c>
      <c r="D6" s="3">
        <v>11</v>
      </c>
      <c r="E6" s="7" t="s">
        <v>13</v>
      </c>
      <c r="F6" s="11">
        <v>0.28000000000000003</v>
      </c>
    </row>
    <row r="7" spans="1:6" x14ac:dyDescent="0.25">
      <c r="A7" s="2"/>
      <c r="B7" s="1"/>
      <c r="C7" s="3" t="s">
        <v>14</v>
      </c>
      <c r="D7" s="3">
        <v>1</v>
      </c>
      <c r="E7" s="7" t="s">
        <v>15</v>
      </c>
      <c r="F7" s="11">
        <v>0.1</v>
      </c>
    </row>
    <row r="8" spans="1:6" x14ac:dyDescent="0.25">
      <c r="A8" s="2"/>
      <c r="B8" s="1"/>
      <c r="C8" s="3" t="s">
        <v>16</v>
      </c>
      <c r="D8" s="3">
        <v>5</v>
      </c>
      <c r="E8" s="7" t="s">
        <v>17</v>
      </c>
      <c r="F8" s="11">
        <v>0.14000000000000001</v>
      </c>
    </row>
    <row r="9" spans="1:6" x14ac:dyDescent="0.25">
      <c r="A9" s="2"/>
      <c r="B9" s="1"/>
      <c r="C9" s="3" t="s">
        <v>18</v>
      </c>
      <c r="D9" s="3">
        <v>1</v>
      </c>
      <c r="E9" s="7" t="s">
        <v>19</v>
      </c>
      <c r="F9" s="11">
        <v>0.15</v>
      </c>
    </row>
    <row r="10" spans="1:6" x14ac:dyDescent="0.25">
      <c r="A10" s="2"/>
      <c r="B10" s="1"/>
      <c r="C10" s="3" t="s">
        <v>20</v>
      </c>
      <c r="D10" s="3">
        <v>2</v>
      </c>
      <c r="E10" s="7" t="s">
        <v>21</v>
      </c>
      <c r="F10" s="11">
        <v>0.14000000000000001</v>
      </c>
    </row>
    <row r="11" spans="1:6" x14ac:dyDescent="0.25">
      <c r="A11" s="2"/>
      <c r="B11" s="1" t="s">
        <v>22</v>
      </c>
      <c r="C11" s="3" t="s">
        <v>23</v>
      </c>
      <c r="D11" s="3">
        <v>2</v>
      </c>
      <c r="E11" s="7" t="s">
        <v>24</v>
      </c>
      <c r="F11" s="11">
        <v>0.23</v>
      </c>
    </row>
    <row r="12" spans="1:6" x14ac:dyDescent="0.25">
      <c r="B12" s="1"/>
      <c r="C12" s="3" t="s">
        <v>25</v>
      </c>
      <c r="D12" s="3">
        <v>26</v>
      </c>
      <c r="E12" s="7" t="s">
        <v>26</v>
      </c>
      <c r="F12" s="11">
        <v>0.56000000000000005</v>
      </c>
    </row>
    <row r="13" spans="1:6" x14ac:dyDescent="0.25">
      <c r="B13" s="1"/>
      <c r="C13" s="3" t="s">
        <v>27</v>
      </c>
      <c r="D13" s="3">
        <v>4</v>
      </c>
      <c r="E13" s="7" t="s">
        <v>28</v>
      </c>
      <c r="F13" s="11">
        <v>1.27</v>
      </c>
    </row>
    <row r="14" spans="1:6" x14ac:dyDescent="0.25">
      <c r="B14" s="1"/>
      <c r="C14" s="3" t="s">
        <v>29</v>
      </c>
      <c r="D14" s="3">
        <v>1</v>
      </c>
      <c r="E14" s="7" t="s">
        <v>30</v>
      </c>
      <c r="F14" s="11">
        <v>0.24</v>
      </c>
    </row>
    <row r="15" spans="1:6" x14ac:dyDescent="0.25">
      <c r="B15" s="1"/>
      <c r="C15" s="3" t="s">
        <v>31</v>
      </c>
      <c r="D15" s="3">
        <v>5</v>
      </c>
      <c r="E15" s="7" t="s">
        <v>32</v>
      </c>
      <c r="F15" s="11">
        <v>2.1</v>
      </c>
    </row>
    <row r="16" spans="1:6" x14ac:dyDescent="0.25">
      <c r="B16" s="1"/>
      <c r="C16" s="3" t="s">
        <v>68</v>
      </c>
      <c r="D16" s="3">
        <v>2</v>
      </c>
      <c r="E16" s="7" t="s">
        <v>33</v>
      </c>
      <c r="F16" s="11">
        <v>0.18</v>
      </c>
    </row>
    <row r="17" spans="2:6" x14ac:dyDescent="0.25">
      <c r="B17" s="1" t="s">
        <v>34</v>
      </c>
      <c r="C17" s="3" t="s">
        <v>35</v>
      </c>
      <c r="D17" s="3">
        <v>1</v>
      </c>
      <c r="E17" s="7" t="s">
        <v>36</v>
      </c>
      <c r="F17" s="11">
        <v>1.49</v>
      </c>
    </row>
    <row r="18" spans="2:6" x14ac:dyDescent="0.25">
      <c r="B18" s="1" t="s">
        <v>37</v>
      </c>
      <c r="C18" s="3" t="s">
        <v>35</v>
      </c>
      <c r="D18" s="3">
        <v>1</v>
      </c>
      <c r="E18" s="7" t="s">
        <v>38</v>
      </c>
      <c r="F18" s="11">
        <v>0.52</v>
      </c>
    </row>
    <row r="19" spans="2:6" x14ac:dyDescent="0.25">
      <c r="B19" s="1" t="s">
        <v>39</v>
      </c>
      <c r="C19" s="3" t="s">
        <v>40</v>
      </c>
      <c r="D19" s="3">
        <v>1</v>
      </c>
      <c r="E19" s="7" t="s">
        <v>41</v>
      </c>
      <c r="F19" s="11">
        <v>0.54</v>
      </c>
    </row>
    <row r="20" spans="2:6" x14ac:dyDescent="0.25">
      <c r="B20" s="1" t="s">
        <v>42</v>
      </c>
      <c r="C20" s="3" t="s">
        <v>43</v>
      </c>
      <c r="D20" s="3">
        <v>1</v>
      </c>
      <c r="E20" s="7" t="s">
        <v>44</v>
      </c>
      <c r="F20" s="11">
        <v>0.54</v>
      </c>
    </row>
    <row r="21" spans="2:6" x14ac:dyDescent="0.25">
      <c r="B21" s="1" t="s">
        <v>45</v>
      </c>
      <c r="C21" s="3" t="s">
        <v>46</v>
      </c>
      <c r="D21" s="3">
        <v>1</v>
      </c>
      <c r="E21" s="7" t="s">
        <v>47</v>
      </c>
      <c r="F21" s="11">
        <v>0.59</v>
      </c>
    </row>
    <row r="22" spans="2:6" x14ac:dyDescent="0.25">
      <c r="B22" s="1" t="s">
        <v>48</v>
      </c>
      <c r="C22" s="3" t="s">
        <v>35</v>
      </c>
      <c r="D22" s="3">
        <v>1</v>
      </c>
      <c r="E22" s="7" t="s">
        <v>49</v>
      </c>
      <c r="F22" s="11">
        <v>1.24</v>
      </c>
    </row>
    <row r="23" spans="2:6" x14ac:dyDescent="0.25">
      <c r="B23" s="1" t="s">
        <v>50</v>
      </c>
      <c r="C23" s="3" t="s">
        <v>35</v>
      </c>
      <c r="D23" s="3">
        <v>1</v>
      </c>
      <c r="E23" s="7" t="s">
        <v>51</v>
      </c>
      <c r="F23" s="11">
        <v>2.74</v>
      </c>
    </row>
    <row r="24" spans="2:6" x14ac:dyDescent="0.25">
      <c r="B24" s="1" t="s">
        <v>53</v>
      </c>
      <c r="C24" s="3" t="s">
        <v>35</v>
      </c>
      <c r="D24" s="3">
        <v>2</v>
      </c>
      <c r="E24" s="7" t="s">
        <v>52</v>
      </c>
      <c r="F24" s="11">
        <v>0.69</v>
      </c>
    </row>
    <row r="25" spans="2:6" x14ac:dyDescent="0.25">
      <c r="B25" s="1" t="s">
        <v>54</v>
      </c>
      <c r="C25" s="3" t="s">
        <v>35</v>
      </c>
      <c r="D25" s="3">
        <v>2</v>
      </c>
      <c r="E25" s="7" t="s">
        <v>55</v>
      </c>
      <c r="F25" s="11">
        <v>0.48</v>
      </c>
    </row>
    <row r="26" spans="2:6" x14ac:dyDescent="0.25">
      <c r="B26" s="1" t="s">
        <v>56</v>
      </c>
      <c r="C26" s="3" t="s">
        <v>35</v>
      </c>
      <c r="D26" s="3">
        <v>1</v>
      </c>
      <c r="E26" s="7" t="s">
        <v>57</v>
      </c>
      <c r="F26" s="11">
        <v>0.57999999999999996</v>
      </c>
    </row>
    <row r="27" spans="2:6" x14ac:dyDescent="0.25">
      <c r="B27" s="1" t="s">
        <v>58</v>
      </c>
      <c r="C27" s="3" t="s">
        <v>35</v>
      </c>
      <c r="D27" s="3">
        <v>1</v>
      </c>
      <c r="E27" s="7" t="s">
        <v>59</v>
      </c>
      <c r="F27" s="11">
        <v>1.46</v>
      </c>
    </row>
    <row r="28" spans="2:6" x14ac:dyDescent="0.25">
      <c r="B28" s="1" t="s">
        <v>60</v>
      </c>
      <c r="C28" s="3" t="s">
        <v>35</v>
      </c>
      <c r="D28" s="3">
        <v>1</v>
      </c>
      <c r="E28" s="7" t="s">
        <v>61</v>
      </c>
      <c r="F28" s="11">
        <v>3.66</v>
      </c>
    </row>
    <row r="29" spans="2:6" x14ac:dyDescent="0.25">
      <c r="B29" s="1" t="s">
        <v>62</v>
      </c>
      <c r="C29" s="3" t="s">
        <v>35</v>
      </c>
      <c r="D29" s="3">
        <v>1</v>
      </c>
      <c r="E29" s="7" t="s">
        <v>63</v>
      </c>
      <c r="F29" s="11">
        <v>1.17</v>
      </c>
    </row>
    <row r="30" spans="2:6" x14ac:dyDescent="0.25">
      <c r="B30" s="1" t="s">
        <v>64</v>
      </c>
      <c r="C30" s="3" t="s">
        <v>35</v>
      </c>
      <c r="D30" s="3">
        <v>1</v>
      </c>
      <c r="E30" s="7" t="s">
        <v>65</v>
      </c>
      <c r="F30" s="11">
        <v>0.75</v>
      </c>
    </row>
    <row r="31" spans="2:6" x14ac:dyDescent="0.25">
      <c r="B31" s="1" t="s">
        <v>66</v>
      </c>
      <c r="C31" s="3" t="s">
        <v>31</v>
      </c>
      <c r="D31" s="3">
        <v>2</v>
      </c>
      <c r="E31" s="7" t="s">
        <v>67</v>
      </c>
      <c r="F31" s="11">
        <v>0.64</v>
      </c>
    </row>
    <row r="32" spans="2:6" x14ac:dyDescent="0.25">
      <c r="B32" s="1" t="s">
        <v>69</v>
      </c>
      <c r="C32" s="3" t="s">
        <v>35</v>
      </c>
      <c r="D32" s="3">
        <v>1</v>
      </c>
      <c r="E32" s="7" t="s">
        <v>70</v>
      </c>
      <c r="F32" s="11">
        <v>0.99</v>
      </c>
    </row>
    <row r="33" spans="1:6" x14ac:dyDescent="0.25">
      <c r="B33" s="1" t="s">
        <v>71</v>
      </c>
      <c r="C33" s="3" t="s">
        <v>35</v>
      </c>
      <c r="D33" s="3">
        <v>2</v>
      </c>
      <c r="E33" s="7" t="s">
        <v>72</v>
      </c>
      <c r="F33" s="11">
        <v>0.36</v>
      </c>
    </row>
    <row r="34" spans="1:6" x14ac:dyDescent="0.25">
      <c r="B34" s="1" t="s">
        <v>73</v>
      </c>
      <c r="C34" s="3" t="s">
        <v>74</v>
      </c>
      <c r="D34" s="3">
        <v>4</v>
      </c>
      <c r="E34" s="7" t="s">
        <v>75</v>
      </c>
      <c r="F34" s="11">
        <v>0.99</v>
      </c>
    </row>
    <row r="35" spans="1:6" x14ac:dyDescent="0.25">
      <c r="B35" s="1"/>
      <c r="C35" s="3" t="s">
        <v>76</v>
      </c>
      <c r="D35" s="3">
        <v>2</v>
      </c>
      <c r="E35" s="7" t="s">
        <v>77</v>
      </c>
      <c r="F35" s="11">
        <v>1.1000000000000001</v>
      </c>
    </row>
    <row r="36" spans="1:6" x14ac:dyDescent="0.25">
      <c r="B36" s="1" t="s">
        <v>78</v>
      </c>
      <c r="C36" s="3" t="s">
        <v>35</v>
      </c>
      <c r="D36" s="3">
        <v>1</v>
      </c>
      <c r="E36" s="7" t="s">
        <v>79</v>
      </c>
      <c r="F36" s="11">
        <v>4.58</v>
      </c>
    </row>
    <row r="37" spans="1:6" x14ac:dyDescent="0.25">
      <c r="D37" s="4"/>
      <c r="F37">
        <f>SUM(F2:F36)</f>
        <v>30.939999999999998</v>
      </c>
    </row>
    <row r="39" spans="1:6" x14ac:dyDescent="0.25">
      <c r="A39" t="s">
        <v>87</v>
      </c>
      <c r="B39" s="1" t="s">
        <v>88</v>
      </c>
      <c r="C39" s="8" t="s">
        <v>108</v>
      </c>
      <c r="D39" s="3">
        <v>17</v>
      </c>
      <c r="E39" s="7" t="s">
        <v>89</v>
      </c>
      <c r="F39" s="1">
        <v>1.22</v>
      </c>
    </row>
    <row r="40" spans="1:6" x14ac:dyDescent="0.25">
      <c r="B40" s="1" t="s">
        <v>90</v>
      </c>
      <c r="C40" s="8" t="s">
        <v>35</v>
      </c>
      <c r="D40" s="8">
        <v>1</v>
      </c>
      <c r="E40" s="7" t="s">
        <v>89</v>
      </c>
      <c r="F40" s="1">
        <v>1.33</v>
      </c>
    </row>
    <row r="41" spans="1:6" x14ac:dyDescent="0.25">
      <c r="B41" s="1" t="s">
        <v>91</v>
      </c>
      <c r="C41" s="8" t="s">
        <v>92</v>
      </c>
      <c r="D41" s="8">
        <v>1</v>
      </c>
      <c r="E41" s="7" t="s">
        <v>89</v>
      </c>
      <c r="F41" s="1">
        <v>14.39</v>
      </c>
    </row>
    <row r="42" spans="1:6" x14ac:dyDescent="0.25">
      <c r="B42" s="1" t="s">
        <v>93</v>
      </c>
      <c r="C42" s="8" t="s">
        <v>94</v>
      </c>
      <c r="D42" s="8">
        <v>1</v>
      </c>
      <c r="E42" s="7" t="s">
        <v>89</v>
      </c>
      <c r="F42" s="1">
        <v>10.7</v>
      </c>
    </row>
    <row r="43" spans="1:6" x14ac:dyDescent="0.25">
      <c r="B43" s="1" t="s">
        <v>95</v>
      </c>
      <c r="C43" s="8" t="s">
        <v>35</v>
      </c>
      <c r="D43" s="8">
        <v>1</v>
      </c>
      <c r="E43" s="7" t="s">
        <v>89</v>
      </c>
      <c r="F43" s="1">
        <v>4.3899999999999997</v>
      </c>
    </row>
    <row r="44" spans="1:6" x14ac:dyDescent="0.25">
      <c r="B44" s="1" t="s">
        <v>96</v>
      </c>
      <c r="C44" s="8" t="s">
        <v>97</v>
      </c>
      <c r="D44" s="8">
        <v>1</v>
      </c>
      <c r="E44" s="7" t="s">
        <v>89</v>
      </c>
      <c r="F44" s="1">
        <v>2.7</v>
      </c>
    </row>
    <row r="45" spans="1:6" x14ac:dyDescent="0.25">
      <c r="B45" s="1" t="s">
        <v>98</v>
      </c>
      <c r="C45" s="8" t="s">
        <v>99</v>
      </c>
      <c r="D45" s="8">
        <v>1</v>
      </c>
      <c r="E45" s="7" t="s">
        <v>89</v>
      </c>
      <c r="F45" s="11">
        <v>1.89</v>
      </c>
    </row>
    <row r="46" spans="1:6" x14ac:dyDescent="0.25">
      <c r="B46" s="1" t="s">
        <v>100</v>
      </c>
      <c r="C46" s="8" t="s">
        <v>101</v>
      </c>
      <c r="D46" s="8">
        <v>1</v>
      </c>
      <c r="E46" s="7" t="s">
        <v>89</v>
      </c>
      <c r="F46" s="1">
        <v>3.19</v>
      </c>
    </row>
    <row r="47" spans="1:6" x14ac:dyDescent="0.25">
      <c r="B47" s="1" t="s">
        <v>102</v>
      </c>
      <c r="C47" s="8" t="s">
        <v>113</v>
      </c>
      <c r="D47" s="8">
        <v>1</v>
      </c>
      <c r="E47" s="13" t="s">
        <v>89</v>
      </c>
      <c r="F47" s="15">
        <v>1.89</v>
      </c>
    </row>
    <row r="48" spans="1:6" x14ac:dyDescent="0.25">
      <c r="B48" s="1" t="s">
        <v>103</v>
      </c>
      <c r="C48" s="8" t="s">
        <v>104</v>
      </c>
      <c r="D48" s="8">
        <v>1</v>
      </c>
      <c r="E48" s="14"/>
      <c r="F48" s="16"/>
    </row>
    <row r="49" spans="1:7" x14ac:dyDescent="0.25">
      <c r="B49" s="1" t="s">
        <v>105</v>
      </c>
      <c r="C49" s="3">
        <v>18650</v>
      </c>
      <c r="D49" s="8">
        <v>1</v>
      </c>
      <c r="E49" s="7" t="s">
        <v>89</v>
      </c>
      <c r="F49" s="1">
        <v>6.59</v>
      </c>
    </row>
    <row r="50" spans="1:7" x14ac:dyDescent="0.25">
      <c r="B50" s="1" t="s">
        <v>106</v>
      </c>
      <c r="C50" s="3" t="s">
        <v>107</v>
      </c>
      <c r="D50" s="3">
        <v>1</v>
      </c>
      <c r="E50" s="7" t="s">
        <v>89</v>
      </c>
      <c r="F50" s="1">
        <v>4.99</v>
      </c>
    </row>
    <row r="51" spans="1:7" x14ac:dyDescent="0.25">
      <c r="B51" s="1" t="s">
        <v>109</v>
      </c>
      <c r="C51" s="3" t="s">
        <v>110</v>
      </c>
      <c r="D51" s="3">
        <v>12</v>
      </c>
      <c r="E51" s="7" t="s">
        <v>89</v>
      </c>
      <c r="F51" s="1">
        <v>1.69</v>
      </c>
    </row>
    <row r="52" spans="1:7" x14ac:dyDescent="0.25">
      <c r="B52" s="1" t="s">
        <v>111</v>
      </c>
      <c r="C52" s="3" t="s">
        <v>112</v>
      </c>
      <c r="D52" s="3">
        <v>12</v>
      </c>
      <c r="E52" s="7" t="s">
        <v>89</v>
      </c>
      <c r="F52" s="1">
        <v>1.4</v>
      </c>
    </row>
    <row r="53" spans="1:7" x14ac:dyDescent="0.25">
      <c r="B53" s="1" t="s">
        <v>114</v>
      </c>
      <c r="C53" s="3" t="s">
        <v>115</v>
      </c>
      <c r="D53" s="3">
        <v>1</v>
      </c>
      <c r="E53" s="7" t="s">
        <v>89</v>
      </c>
      <c r="F53" s="1">
        <v>3.29</v>
      </c>
    </row>
    <row r="54" spans="1:7" x14ac:dyDescent="0.25">
      <c r="B54" s="9" t="s">
        <v>116</v>
      </c>
      <c r="C54" s="3" t="s">
        <v>117</v>
      </c>
      <c r="D54" s="3">
        <v>1</v>
      </c>
      <c r="E54" s="7" t="s">
        <v>89</v>
      </c>
      <c r="F54" s="11">
        <v>1.72</v>
      </c>
    </row>
    <row r="55" spans="1:7" x14ac:dyDescent="0.25">
      <c r="B55" s="10"/>
      <c r="C55" s="3" t="s">
        <v>118</v>
      </c>
      <c r="D55" s="3">
        <v>2</v>
      </c>
      <c r="E55" s="7" t="s">
        <v>89</v>
      </c>
      <c r="F55" s="11">
        <v>2.1800000000000002</v>
      </c>
    </row>
    <row r="56" spans="1:7" x14ac:dyDescent="0.25">
      <c r="B56" s="1" t="s">
        <v>119</v>
      </c>
      <c r="C56" s="3" t="s">
        <v>120</v>
      </c>
      <c r="D56" s="3">
        <v>1</v>
      </c>
      <c r="E56" s="7" t="s">
        <v>89</v>
      </c>
      <c r="F56" s="11">
        <v>6.59</v>
      </c>
    </row>
    <row r="57" spans="1:7" x14ac:dyDescent="0.25">
      <c r="B57" s="1" t="s">
        <v>121</v>
      </c>
      <c r="C57" s="3" t="s">
        <v>124</v>
      </c>
      <c r="D57" s="3">
        <v>1</v>
      </c>
      <c r="E57" s="7" t="s">
        <v>89</v>
      </c>
      <c r="F57" s="11">
        <v>1.69</v>
      </c>
    </row>
    <row r="58" spans="1:7" x14ac:dyDescent="0.25">
      <c r="B58" s="1" t="s">
        <v>122</v>
      </c>
      <c r="C58" s="3" t="s">
        <v>123</v>
      </c>
      <c r="D58" s="3">
        <v>1</v>
      </c>
      <c r="E58" s="7" t="s">
        <v>89</v>
      </c>
      <c r="F58" s="11">
        <v>1.81</v>
      </c>
    </row>
    <row r="59" spans="1:7" x14ac:dyDescent="0.25">
      <c r="F59">
        <f>SUM(F39:F58)</f>
        <v>73.650000000000006</v>
      </c>
    </row>
    <row r="60" spans="1:7" x14ac:dyDescent="0.25">
      <c r="D60" s="4"/>
    </row>
    <row r="61" spans="1:7" x14ac:dyDescent="0.25">
      <c r="A61" t="s">
        <v>84</v>
      </c>
      <c r="B61" s="1" t="s">
        <v>81</v>
      </c>
      <c r="C61" s="3" t="s">
        <v>35</v>
      </c>
      <c r="D61" s="3">
        <v>1</v>
      </c>
      <c r="E61" s="12" t="s">
        <v>83</v>
      </c>
      <c r="F61" s="11">
        <v>1.7</v>
      </c>
      <c r="G61" t="s">
        <v>85</v>
      </c>
    </row>
    <row r="62" spans="1:7" x14ac:dyDescent="0.25">
      <c r="B62" s="1" t="s">
        <v>82</v>
      </c>
      <c r="C62" s="3" t="s">
        <v>35</v>
      </c>
      <c r="D62" s="3">
        <v>1</v>
      </c>
      <c r="E62" s="12"/>
      <c r="F62" s="11">
        <v>3.4</v>
      </c>
    </row>
    <row r="63" spans="1:7" x14ac:dyDescent="0.25">
      <c r="C63" s="4"/>
    </row>
    <row r="64" spans="1:7" x14ac:dyDescent="0.25">
      <c r="A64" t="s">
        <v>125</v>
      </c>
      <c r="B64" s="1" t="s">
        <v>126</v>
      </c>
      <c r="C64" s="3" t="s">
        <v>127</v>
      </c>
      <c r="D64" s="3">
        <v>2</v>
      </c>
      <c r="E64" s="7" t="s">
        <v>89</v>
      </c>
      <c r="F64" s="11">
        <f>4.89*2</f>
        <v>9.7799999999999994</v>
      </c>
    </row>
    <row r="65" spans="1:6" x14ac:dyDescent="0.25">
      <c r="B65" s="1" t="s">
        <v>128</v>
      </c>
      <c r="C65" s="3" t="s">
        <v>35</v>
      </c>
      <c r="D65" s="3">
        <v>1</v>
      </c>
      <c r="E65" s="7" t="s">
        <v>89</v>
      </c>
      <c r="F65" s="11">
        <v>2.1</v>
      </c>
    </row>
    <row r="66" spans="1:6" x14ac:dyDescent="0.25">
      <c r="B66" s="1" t="s">
        <v>129</v>
      </c>
      <c r="C66" s="3" t="s">
        <v>132</v>
      </c>
      <c r="D66" s="3">
        <v>1</v>
      </c>
      <c r="E66" s="7" t="s">
        <v>89</v>
      </c>
      <c r="F66" s="11">
        <v>1.72</v>
      </c>
    </row>
    <row r="67" spans="1:6" x14ac:dyDescent="0.25">
      <c r="B67" s="1" t="s">
        <v>130</v>
      </c>
      <c r="C67" s="3" t="s">
        <v>132</v>
      </c>
      <c r="D67" s="3">
        <v>1</v>
      </c>
      <c r="E67" s="7" t="s">
        <v>89</v>
      </c>
      <c r="F67" s="11">
        <v>2.04</v>
      </c>
    </row>
    <row r="68" spans="1:6" x14ac:dyDescent="0.25">
      <c r="B68" s="1" t="s">
        <v>131</v>
      </c>
      <c r="C68" s="3" t="s">
        <v>35</v>
      </c>
      <c r="D68" s="3">
        <v>1</v>
      </c>
      <c r="E68" s="7" t="s">
        <v>89</v>
      </c>
      <c r="F68" s="11">
        <v>3.89</v>
      </c>
    </row>
    <row r="69" spans="1:6" x14ac:dyDescent="0.25">
      <c r="B69" s="1" t="s">
        <v>140</v>
      </c>
      <c r="C69" s="3" t="s">
        <v>133</v>
      </c>
      <c r="D69" s="3">
        <v>1</v>
      </c>
      <c r="E69" s="7" t="s">
        <v>89</v>
      </c>
      <c r="F69" s="11">
        <v>20.12</v>
      </c>
    </row>
    <row r="70" spans="1:6" x14ac:dyDescent="0.25">
      <c r="B70" s="6" t="s">
        <v>134</v>
      </c>
      <c r="C70" s="3" t="s">
        <v>35</v>
      </c>
      <c r="D70" s="3">
        <v>1</v>
      </c>
      <c r="E70" s="7" t="s">
        <v>89</v>
      </c>
      <c r="F70" s="11">
        <v>1.05</v>
      </c>
    </row>
    <row r="71" spans="1:6" x14ac:dyDescent="0.25">
      <c r="C71" s="4"/>
      <c r="D71" s="4"/>
      <c r="F71">
        <f>SUM(F64:F70)</f>
        <v>40.700000000000003</v>
      </c>
    </row>
    <row r="72" spans="1:6" x14ac:dyDescent="0.25">
      <c r="C72" s="4"/>
      <c r="D72" s="4"/>
    </row>
    <row r="74" spans="1:6" x14ac:dyDescent="0.25">
      <c r="A74" t="s">
        <v>135</v>
      </c>
      <c r="B74">
        <f>SUM(F2:F71)-F71-F59-F37</f>
        <v>150.39000000000001</v>
      </c>
    </row>
    <row r="75" spans="1:6" x14ac:dyDescent="0.25">
      <c r="A75" t="s">
        <v>136</v>
      </c>
      <c r="B75">
        <f>SUM(F2:F36,F45,F47,F54:F58,F61:F62,F64:F70)</f>
        <v>94.51</v>
      </c>
    </row>
    <row r="77" spans="1:6" x14ac:dyDescent="0.25">
      <c r="A77" t="s">
        <v>86</v>
      </c>
      <c r="B77">
        <f>SUM(F45,F47,F54:F58,F64:F68)+F70</f>
        <v>38.349999999999994</v>
      </c>
    </row>
    <row r="78" spans="1:6" x14ac:dyDescent="0.25">
      <c r="A78" t="s">
        <v>137</v>
      </c>
      <c r="B78">
        <f>SUM(F2:F36)</f>
        <v>30.939999999999998</v>
      </c>
    </row>
    <row r="79" spans="1:6" x14ac:dyDescent="0.25">
      <c r="A79" t="s">
        <v>138</v>
      </c>
      <c r="B79">
        <f>F69</f>
        <v>20.12</v>
      </c>
    </row>
    <row r="80" spans="1:6" x14ac:dyDescent="0.25">
      <c r="A80" t="s">
        <v>139</v>
      </c>
      <c r="B80">
        <f>F62+F61</f>
        <v>5.0999999999999996</v>
      </c>
    </row>
  </sheetData>
  <mergeCells count="3">
    <mergeCell ref="E61:E62"/>
    <mergeCell ref="E47:E48"/>
    <mergeCell ref="F47:F48"/>
  </mergeCells>
  <hyperlinks>
    <hyperlink ref="E39" r:id="rId1" display="https://fr.aliexpress.com/item/1005001629177989.html?spm=a2g0o.order_list.order_list_main.62.7ad85e5buKfVZj&amp;gatewayAdapt=glo2fra" xr:uid="{FD32A896-1C1E-4358-AFB6-0A7B14911180}"/>
    <hyperlink ref="E40" r:id="rId2" xr:uid="{F6D823A8-DFE6-45E6-8DA1-92CF21D676AC}"/>
    <hyperlink ref="E41" r:id="rId3" xr:uid="{D1AA9C33-AD36-4755-890F-BECD53E1226C}"/>
    <hyperlink ref="E42" r:id="rId4" display="https://fr.aliexpress.com/item/4000034945525.html?spm=a2g0o.store_pc_home.promoteRecommendProducts_6105935.4000034945525&amp;gatewayAdapt=glo2fra" xr:uid="{46AB4E8F-A61C-446B-BD3C-5863A3549801}"/>
    <hyperlink ref="E2" r:id="rId5" xr:uid="{706E4FFF-7FEB-4A37-89DE-933D448F261B}"/>
    <hyperlink ref="E3" r:id="rId6" xr:uid="{69A526CA-3034-4D30-BE02-EDBF3A8F4B9D}"/>
    <hyperlink ref="E4" r:id="rId7" xr:uid="{8852FE8D-10F2-4571-8515-B15E0CFFDB6E}"/>
    <hyperlink ref="E5" r:id="rId8" xr:uid="{7EF1ECF4-6855-419E-B088-8FF19FE4A548}"/>
    <hyperlink ref="E6" r:id="rId9" xr:uid="{313C5414-A47D-4880-854E-4AF5A65C8647}"/>
    <hyperlink ref="E7" r:id="rId10" xr:uid="{93CFC365-EBDF-4A87-954C-11EFF2AD972F}"/>
    <hyperlink ref="E8" r:id="rId11" xr:uid="{28B8D075-D3F2-4136-AE61-1EA950A23FC3}"/>
    <hyperlink ref="E9" r:id="rId12" xr:uid="{1AD12148-083A-42D9-A97E-89871E74C785}"/>
    <hyperlink ref="E10" r:id="rId13" xr:uid="{F0BC23F9-C180-4A38-9961-ED1AF4A84E6B}"/>
    <hyperlink ref="E11" r:id="rId14" xr:uid="{0102CC15-1B5C-4D7D-9FBD-37B2311BFB53}"/>
    <hyperlink ref="E12" r:id="rId15" xr:uid="{D35AF02D-2FA4-4F2B-8ED2-30AFA94DC751}"/>
    <hyperlink ref="E13" r:id="rId16" xr:uid="{0C377BF0-6508-435D-ADE6-89806CE2260D}"/>
    <hyperlink ref="E14" r:id="rId17" xr:uid="{50849DCD-2F9C-4470-B038-127E155A8B64}"/>
    <hyperlink ref="E15" r:id="rId18" xr:uid="{656A3AE2-32CA-432A-B2AA-D8BE396DE703}"/>
    <hyperlink ref="E16" r:id="rId19" xr:uid="{A1EA699C-B908-44F6-BB09-E29683570326}"/>
    <hyperlink ref="E17" r:id="rId20" xr:uid="{CE845878-9D08-46AA-82A0-B032144A67FB}"/>
    <hyperlink ref="E18" r:id="rId21" xr:uid="{0F14629A-E089-4F86-865A-B70ABD1647E2}"/>
    <hyperlink ref="E19" r:id="rId22" xr:uid="{3A39CC5D-9EF0-4202-AD02-6B378DBFD222}"/>
    <hyperlink ref="E20" r:id="rId23" xr:uid="{C7AD8C5C-78E7-49A8-A3B0-3D4A47FD4BE3}"/>
    <hyperlink ref="E21" r:id="rId24" xr:uid="{776E8891-8830-4C9A-916E-DA3B902C4D4B}"/>
    <hyperlink ref="E22" r:id="rId25" xr:uid="{28C64805-7DD3-48AD-A72D-6E937BADC2B0}"/>
    <hyperlink ref="E23" r:id="rId26" xr:uid="{C1D66D59-79D6-465F-B22A-2E431A8B6635}"/>
    <hyperlink ref="E24" r:id="rId27" xr:uid="{7A66517D-B0EE-436D-9FCD-8EA0012A1370}"/>
    <hyperlink ref="E25" r:id="rId28" xr:uid="{418F300F-6537-4AED-B939-752D69AD2FBD}"/>
    <hyperlink ref="E26" r:id="rId29" xr:uid="{E307A6A8-A454-4181-AF59-0E88B5366787}"/>
    <hyperlink ref="E27" r:id="rId30" xr:uid="{A6F321EB-356D-4212-9BC9-E8EF41616DD3}"/>
    <hyperlink ref="E28" r:id="rId31" xr:uid="{B2BE2DFA-594A-4FAF-941D-D9B337AC1167}"/>
    <hyperlink ref="E29" r:id="rId32" xr:uid="{D3E20064-86C0-4D9D-A44A-E284ACB8D05E}"/>
    <hyperlink ref="E30" r:id="rId33" xr:uid="{C88DA108-F4D1-46F5-873F-63CAB52F1E30}"/>
    <hyperlink ref="E31" r:id="rId34" xr:uid="{E72C56E9-18F5-4089-9C72-D41A686E72AA}"/>
    <hyperlink ref="E32" r:id="rId35" xr:uid="{CB524367-AC18-4B88-A8C0-994138D2C73A}"/>
    <hyperlink ref="E33" r:id="rId36" xr:uid="{62D540C9-AAB9-40DD-8BD1-0BFD5706FEE5}"/>
    <hyperlink ref="E34" r:id="rId37" xr:uid="{C1B6AB9D-D5D1-4BFB-AD1F-EC45566A1388}"/>
    <hyperlink ref="E35" r:id="rId38" xr:uid="{1A4AA13E-53F9-49A7-BCB4-1F02BE52AE04}"/>
    <hyperlink ref="E36" r:id="rId39" xr:uid="{F385E3D6-C55E-4CD5-B2CA-B2ABC7D58C77}"/>
    <hyperlink ref="E43" r:id="rId40" xr:uid="{886495D5-0955-47D6-BA0A-CF54CBE9BF77}"/>
    <hyperlink ref="E44" r:id="rId41" xr:uid="{A13E420D-A519-4A15-AF2B-E3F756C49B2F}"/>
    <hyperlink ref="E45" r:id="rId42" display="LinK" xr:uid="{1E29EDB6-D547-4858-AE54-E11A9856C5D7}"/>
    <hyperlink ref="E46" r:id="rId43" xr:uid="{E31A619B-4DAA-42E5-BF3D-C15BBD5BAFA7}"/>
    <hyperlink ref="E47:E48" r:id="rId44" display="Link" xr:uid="{92D4A1A6-BAB3-41C8-A9DF-81CF79404DA3}"/>
    <hyperlink ref="E49" r:id="rId45" xr:uid="{BFB2FD9D-0082-4F86-9A42-EA606BE631A9}"/>
    <hyperlink ref="E50" r:id="rId46" xr:uid="{CAC0A57F-32A9-48F0-85D3-7790022ADB1C}"/>
    <hyperlink ref="E51" r:id="rId47" xr:uid="{00F0A426-FCB5-413F-81BD-1C432FA5372A}"/>
    <hyperlink ref="E52" r:id="rId48" xr:uid="{69B8CF53-B753-4732-9256-2EFD43CDCFEA}"/>
    <hyperlink ref="E53" r:id="rId49" xr:uid="{69B22CCB-D2E0-490D-A98A-8CA551F201C0}"/>
    <hyperlink ref="E55" r:id="rId50" xr:uid="{3D54D0A9-E2B8-40F5-BBE7-7D482EA4FFA0}"/>
    <hyperlink ref="E54" r:id="rId51" xr:uid="{C9B9A13D-5B71-4E36-BE62-DA0B778F2D7F}"/>
    <hyperlink ref="E56" r:id="rId52" xr:uid="{9B967D4D-1F71-4323-A7CF-49529205FEDA}"/>
    <hyperlink ref="E57" r:id="rId53" xr:uid="{A96D522F-A112-4981-8CE5-B2AE40B2066E}"/>
    <hyperlink ref="E58" r:id="rId54" xr:uid="{D7DBA26A-8AAF-49F1-836E-0B24424EAC00}"/>
    <hyperlink ref="E64" r:id="rId55" xr:uid="{826B34AF-DC37-4F91-955C-E1A8295CE828}"/>
    <hyperlink ref="E68" r:id="rId56" location="nav-specification" xr:uid="{8D85CA01-822D-43C4-AA48-E70C98FF470E}"/>
    <hyperlink ref="E65" r:id="rId57" xr:uid="{92DBAB3D-63B3-4971-A3C9-91467CA1D3ED}"/>
    <hyperlink ref="E66" r:id="rId58" xr:uid="{8D644AC9-3FB0-4286-89E4-F9C7B8E132A7}"/>
    <hyperlink ref="E67" r:id="rId59" xr:uid="{B754D107-6627-46D6-8ACB-3F0329AAF891}"/>
    <hyperlink ref="E69" r:id="rId60" xr:uid="{7DDE4BD1-A77E-4D4B-BDE5-D1FB6E151E21}"/>
    <hyperlink ref="E70" r:id="rId61" location="nav-specification" xr:uid="{0C991173-89E1-42FF-A5ED-32A149C9D1DB}"/>
  </hyperlinks>
  <pageMargins left="0.7" right="0.7" top="0.75" bottom="0.75" header="0.3" footer="0.3"/>
  <pageSetup paperSize="9" orientation="portrait" r:id="rId62"/>
  <legacy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CHARLES</dc:creator>
  <cp:lastModifiedBy>Florian CHARLES</cp:lastModifiedBy>
  <dcterms:created xsi:type="dcterms:W3CDTF">2026-04-18T19:16:01Z</dcterms:created>
  <dcterms:modified xsi:type="dcterms:W3CDTF">2026-04-24T22:25:59Z</dcterms:modified>
</cp:coreProperties>
</file>